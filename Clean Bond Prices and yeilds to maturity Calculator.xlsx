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2445F2F5-DEC3-45D4-A476-E7D927CD4E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lculator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C15" i="1"/>
  <c r="C13" i="1"/>
  <c r="C12" i="1"/>
  <c r="C14" i="1"/>
  <c r="D12" i="1"/>
  <c r="D13" i="1"/>
  <c r="D14" i="1"/>
  <c r="D15" i="1"/>
  <c r="C16" i="1"/>
  <c r="D16" i="1"/>
</calcChain>
</file>

<file path=xl/sharedStrings.xml><?xml version="1.0" encoding="utf-8"?>
<sst xmlns="http://schemas.openxmlformats.org/spreadsheetml/2006/main" count="7" uniqueCount="7">
  <si>
    <t>Clean Bond Prices and yeilds to maturity Calculator</t>
  </si>
  <si>
    <t xml:space="preserve">YTM or r = </t>
  </si>
  <si>
    <t xml:space="preserve">Time to coupon (Months) </t>
  </si>
  <si>
    <t xml:space="preserve">Coupon (£) </t>
  </si>
  <si>
    <t>Discount factor (1/(1+r))t</t>
  </si>
  <si>
    <t xml:space="preserve">Present value (£) </t>
  </si>
  <si>
    <t xml:space="preserve">Total = current Price (£)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</si>
</sst>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4" borderId="1" xfId="0" applyFont="1" applyFill="1" applyBorder="1"/>
    <xf numFmtId="0" fontId="0" fillId="4" borderId="1" xfId="0" applyFill="1" applyBorder="1"/>
    <xf numFmtId="10" fontId="0" fillId="3" borderId="1" xfId="0" applyNumberFormat="1" applyFill="1" applyBorder="1"/>
    <xf numFmtId="0" fontId="0" fillId="2" borderId="1" xfId="0" applyFill="1" applyBorder="1"/>
    <xf numFmtId="0" fontId="2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8"/>
  <sheetViews>
    <sheetView showGridLines="0" tabSelected="1" workbookViewId="0">
      <selection activeCell="A7" sqref="A7:C7"/>
    </sheetView>
  </sheetViews>
  <sheetFormatPr defaultRowHeight="15"/>
  <cols>
    <col min="1" max="1" width="23.140625" bestFit="1" customWidth="1"/>
    <col min="2" max="2" width="30.7109375" bestFit="1" customWidth="1"/>
    <col min="3" max="3" width="26" bestFit="1" customWidth="1"/>
    <col min="4" max="4" width="16" bestFit="1" customWidth="1"/>
    <col min="5" max="5" width="12.140625" bestFit="1" customWidth="1"/>
  </cols>
  <sheetData>
    <row r="7" spans="1:4">
      <c r="A7" s="6" t="s">
        <v>0</v>
      </c>
      <c r="B7" s="7"/>
      <c r="C7" s="7"/>
    </row>
    <row r="9" spans="1:4">
      <c r="A9" s="1" t="s">
        <v>1</v>
      </c>
      <c r="B9" s="4">
        <v>0.11</v>
      </c>
    </row>
    <row r="11" spans="1:4">
      <c r="A11" s="2" t="s">
        <v>2</v>
      </c>
      <c r="B11" s="2" t="s">
        <v>3</v>
      </c>
      <c r="C11" s="2" t="s">
        <v>4</v>
      </c>
      <c r="D11" s="2" t="s">
        <v>5</v>
      </c>
    </row>
    <row r="12" spans="1:4">
      <c r="A12" s="3">
        <v>0.5</v>
      </c>
      <c r="B12" s="3">
        <v>5</v>
      </c>
      <c r="C12" s="3">
        <f>1/((1+B$9)^A12)</f>
        <v>0.94915799575249904</v>
      </c>
      <c r="D12" s="3">
        <f>$B12*$C12</f>
        <v>4.7457899787624953</v>
      </c>
    </row>
    <row r="13" spans="1:4">
      <c r="A13" s="3">
        <v>1.5</v>
      </c>
      <c r="B13" s="3">
        <v>5</v>
      </c>
      <c r="C13" s="3">
        <f>1/((1+B$9)^A13)</f>
        <v>0.85509729347071961</v>
      </c>
      <c r="D13" s="3">
        <f>$B13*$C13</f>
        <v>4.2754864673535984</v>
      </c>
    </row>
    <row r="14" spans="1:4">
      <c r="A14" s="3">
        <v>2.5</v>
      </c>
      <c r="B14" s="3">
        <v>5</v>
      </c>
      <c r="C14" s="3">
        <f>1/((1+B$9)^A14)</f>
        <v>0.77035792204569342</v>
      </c>
      <c r="D14" s="3">
        <f>$B14*$C14</f>
        <v>3.851789610228467</v>
      </c>
    </row>
    <row r="15" spans="1:4">
      <c r="A15" s="3">
        <v>3.5</v>
      </c>
      <c r="B15" s="3">
        <v>5</v>
      </c>
      <c r="C15" s="3">
        <f>1/((1+B$9)^A15)</f>
        <v>0.69401614598711103</v>
      </c>
      <c r="D15" s="3">
        <f>$B15*$C15</f>
        <v>3.4700807299355549</v>
      </c>
    </row>
    <row r="16" spans="1:4">
      <c r="A16" s="3">
        <v>4.5</v>
      </c>
      <c r="B16" s="3">
        <v>105</v>
      </c>
      <c r="C16" s="3">
        <f>1/((1+B$9)^A16)</f>
        <v>0.62523977115955953</v>
      </c>
      <c r="D16" s="3">
        <f>$B16*$C16</f>
        <v>65.650175971753754</v>
      </c>
    </row>
    <row r="18" spans="1:2">
      <c r="A18" s="1" t="s">
        <v>6</v>
      </c>
      <c r="B18" s="5">
        <f>SUM(D12:D16)</f>
        <v>81.993322758033869</v>
      </c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2025-10-09T13:02:05Z</dcterms:created>
  <dcterms:modified xsi:type="dcterms:W3CDTF">2026-04-16T21:52:43Z</dcterms:modified>
  <cp:category/>
  <cp:contentStatus/>
</cp:coreProperties>
</file>